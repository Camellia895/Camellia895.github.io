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G:\网页设计\docs\表账\2026\"/>
    </mc:Choice>
  </mc:AlternateContent>
  <xr:revisionPtr revIDLastSave="0" documentId="13_ncr:1_{16F5393B-52A4-4366-BBE1-6FDE84E8C71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三月" sheetId="1" r:id="rId1"/>
    <sheet name="四月" sheetId="2" r:id="rId2"/>
    <sheet name="五月" sheetId="3" r:id="rId3"/>
    <sheet name="六月" sheetId="5" r:id="rId4"/>
    <sheet name="Sheet1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5" i="5" l="1"/>
  <c r="L26" i="5"/>
  <c r="M26" i="5" s="1"/>
  <c r="M14" i="5"/>
  <c r="J2" i="5"/>
  <c r="M15" i="5"/>
  <c r="H31" i="5"/>
  <c r="E31" i="5"/>
  <c r="H30" i="5"/>
  <c r="E30" i="5"/>
  <c r="H29" i="5"/>
  <c r="E29" i="5"/>
  <c r="H28" i="5"/>
  <c r="E28" i="5"/>
  <c r="H27" i="5"/>
  <c r="E27" i="5"/>
  <c r="H26" i="5"/>
  <c r="E26" i="5"/>
  <c r="H25" i="5"/>
  <c r="E25" i="5"/>
  <c r="H24" i="5"/>
  <c r="E24" i="5"/>
  <c r="H23" i="5"/>
  <c r="E23" i="5"/>
  <c r="H22" i="5"/>
  <c r="E22" i="5"/>
  <c r="H21" i="5"/>
  <c r="E21" i="5"/>
  <c r="H20" i="5"/>
  <c r="E20" i="5"/>
  <c r="H19" i="5"/>
  <c r="E19" i="5"/>
  <c r="H18" i="5"/>
  <c r="E18" i="5"/>
  <c r="H17" i="5"/>
  <c r="E17" i="5"/>
  <c r="H16" i="5"/>
  <c r="E16" i="5"/>
  <c r="H15" i="5"/>
  <c r="E15" i="5"/>
  <c r="H14" i="5"/>
  <c r="E14" i="5"/>
  <c r="H13" i="5"/>
  <c r="E13" i="5"/>
  <c r="H12" i="5"/>
  <c r="E12" i="5"/>
  <c r="H11" i="5"/>
  <c r="E11" i="5"/>
  <c r="H10" i="5"/>
  <c r="E10" i="5"/>
  <c r="H9" i="5"/>
  <c r="E9" i="5"/>
  <c r="H8" i="5"/>
  <c r="E8" i="5"/>
  <c r="H7" i="5"/>
  <c r="E7" i="5"/>
  <c r="H6" i="5"/>
  <c r="E6" i="5"/>
  <c r="H5" i="5"/>
  <c r="E5" i="5"/>
  <c r="H4" i="5"/>
  <c r="E4" i="5"/>
  <c r="H3" i="5"/>
  <c r="E3" i="5"/>
  <c r="N2" i="5"/>
  <c r="K2" i="5"/>
  <c r="I2" i="5"/>
  <c r="H2" i="5"/>
  <c r="E2" i="5"/>
  <c r="F3" i="3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L2" i="5" l="1"/>
  <c r="N5" i="5" s="1"/>
  <c r="H34" i="5"/>
  <c r="T2" i="3"/>
  <c r="M2" i="3"/>
  <c r="P2" i="3" s="1"/>
  <c r="T2" i="2"/>
  <c r="N2" i="1"/>
  <c r="Q2" i="1" s="1"/>
  <c r="M2" i="2"/>
  <c r="P2" i="2" s="1"/>
  <c r="O2" i="5" l="1"/>
</calcChain>
</file>

<file path=xl/sharedStrings.xml><?xml version="1.0" encoding="utf-8"?>
<sst xmlns="http://schemas.openxmlformats.org/spreadsheetml/2006/main" count="184" uniqueCount="89">
  <si>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</si>
  <si>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</si>
  <si>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</si>
  <si>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</si>
  <si>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</si>
  <si>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</si>
  <si>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</si>
  <si>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</si>
  <si>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</si>
  <si>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</si>
  <si>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</si>
  <si>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</si>
  <si>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</si>
  <si>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</si>
  <si>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</si>
  <si>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</si>
  <si>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</si>
  <si>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</si>
  <si>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</si>
  <si>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</si>
  <si>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</si>
  <si>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</si>
  <si>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</si>
  <si>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</si>
  <si>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</si>
  <si>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</si>
  <si>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</si>
  <si>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</si>
  <si>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</si>
  <si>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</si>
  <si>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</si>
  <si>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</si>
  <si>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</si>
  <si>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</si>
  <si>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</si>
  <si>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</si>
  <si>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</si>
  <si>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</si>
  <si>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</si>
  <si>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</si>
  <si>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</si>
  <si>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</si>
  <si>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</si>
  <si>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</si>
  <si>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</si>
  <si>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</si>
  <si>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</si>
  <si>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</si>
  <si>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</si>
  <si>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</si>
  <si>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</si>
  <si>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</si>
  <si>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</si>
  <si>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</si>
  <si>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</si>
  <si>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</si>
  <si>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</si>
  <si>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</si>
  <si>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</si>
  <si>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</si>
  <si>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</si>
  <si>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</si>
  <si>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</si>
  <si>
    <t xml:space="preserve">瓜拉纳提取物100g 9.30 </t>
    <phoneticPr fontId="2" type="noConversion"/>
  </si>
  <si>
    <t xml:space="preserve"> 域名购置 12</t>
    <phoneticPr fontId="2" type="noConversion"/>
  </si>
  <si>
    <t>服务器购置 68</t>
    <phoneticPr fontId="2" type="noConversion"/>
  </si>
  <si>
    <t>网易云会员 50</t>
    <phoneticPr fontId="2" type="noConversion"/>
  </si>
  <si>
    <t>内容</t>
    <phoneticPr fontId="2" type="noConversion"/>
  </si>
  <si>
    <t>价格</t>
    <phoneticPr fontId="2" type="noConversion"/>
  </si>
  <si>
    <t>外国手机卡</t>
    <phoneticPr fontId="2" type="noConversion"/>
  </si>
  <si>
    <t>数位屏（租用计价）</t>
    <phoneticPr fontId="2" type="noConversion"/>
  </si>
  <si>
    <t>预期信用时间（月）</t>
    <phoneticPr fontId="2" type="noConversion"/>
  </si>
  <si>
    <t>耐用品展期公示（beta)</t>
    <phoneticPr fontId="2" type="noConversion"/>
  </si>
  <si>
    <t>账目开销</t>
    <phoneticPr fontId="2" type="noConversion"/>
  </si>
  <si>
    <t>合计</t>
    <phoneticPr fontId="2" type="noConversion"/>
  </si>
  <si>
    <t>esim实体卡 20+电话卡充值 91(平摊计价）</t>
    <phoneticPr fontId="2" type="noConversion"/>
  </si>
  <si>
    <t xml:space="preserve"> 数位屏 xppen artist 12 679 （预期折价100，1年，目前二手市场均价800）实行租用计算方法</t>
    <phoneticPr fontId="2" type="noConversion"/>
  </si>
  <si>
    <t>平摊</t>
    <phoneticPr fontId="2" type="noConversion"/>
  </si>
  <si>
    <t>结束时间</t>
    <phoneticPr fontId="2" type="noConversion"/>
  </si>
  <si>
    <t>外卖</t>
    <phoneticPr fontId="2" type="noConversion"/>
  </si>
  <si>
    <t>购置网页框架（含学习补助）</t>
    <phoneticPr fontId="2" type="noConversion"/>
  </si>
  <si>
    <t>已补助</t>
    <phoneticPr fontId="2" type="noConversion"/>
  </si>
  <si>
    <t>购置codex会员 80</t>
    <phoneticPr fontId="2" type="noConversion"/>
  </si>
  <si>
    <t>购置网页框架（含学习补助）105</t>
    <phoneticPr fontId="2" type="noConversion"/>
  </si>
  <si>
    <t>学习补助</t>
    <phoneticPr fontId="2" type="noConversion"/>
  </si>
  <si>
    <t>比例（不安定变动）</t>
    <phoneticPr fontId="2" type="noConversion"/>
  </si>
  <si>
    <t>学习补助（出于学习目的的补助）（beta)（10%-100%）</t>
    <phoneticPr fontId="2" type="noConversion"/>
  </si>
  <si>
    <t>过去时候给别人当牛马时候想到的说辞。即：是为我目前做的事情提供学习补助，如果含有学习的目的即可提供补助，让我重新审视我做的事情。</t>
    <phoneticPr fontId="2" type="noConversion"/>
  </si>
  <si>
    <t>有579元未纳入计算因为实行租用计算方法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</si>
</sst>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  <numFmt numFmtId="178" formatCode="0.00_);[Red]\(0.00\)"/>
  </numFmts>
  <fonts count="5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rgb="FF9C5700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  <xf numFmtId="0" fontId="4" fillId="3" borderId="0" xfId="3" applyAlignment="1">
      <alignment horizontal="center"/>
    </xf>
    <xf numFmtId="44" fontId="0" fillId="0" borderId="0" xfId="2" applyFont="1" applyAlignment="1">
      <alignment horizontal="center"/>
    </xf>
    <xf numFmtId="44" fontId="0" fillId="0" borderId="1" xfId="2" applyFont="1" applyFill="1" applyBorder="1" applyAlignment="1">
      <alignment horizontal="center"/>
    </xf>
    <xf numFmtId="44" fontId="0" fillId="0" borderId="2" xfId="2" applyFont="1" applyFill="1" applyBorder="1" applyAlignment="1">
      <alignment horizontal="center"/>
    </xf>
    <xf numFmtId="178" fontId="0" fillId="0" borderId="3" xfId="0" applyNumberFormat="1" applyFill="1" applyBorder="1" applyAlignment="1">
      <alignment horizontal="center"/>
    </xf>
    <xf numFmtId="44" fontId="0" fillId="0" borderId="4" xfId="2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178" fontId="0" fillId="0" borderId="0" xfId="0" applyNumberFormat="1" applyFill="1" applyBorder="1" applyAlignment="1">
      <alignment horizontal="center"/>
    </xf>
    <xf numFmtId="178" fontId="0" fillId="0" borderId="5" xfId="0" applyNumberFormat="1" applyFill="1" applyBorder="1" applyAlignment="1">
      <alignment horizontal="center"/>
    </xf>
    <xf numFmtId="44" fontId="0" fillId="0" borderId="0" xfId="2" applyFont="1" applyFill="1" applyBorder="1" applyAlignment="1">
      <alignment horizontal="center"/>
    </xf>
    <xf numFmtId="9" fontId="0" fillId="0" borderId="0" xfId="0" applyNumberFormat="1" applyFill="1" applyBorder="1" applyAlignment="1">
      <alignment horizontal="center"/>
    </xf>
    <xf numFmtId="44" fontId="0" fillId="0" borderId="5" xfId="2" applyFont="1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17" fontId="0" fillId="0" borderId="0" xfId="0" applyNumberFormat="1" applyFill="1" applyBorder="1" applyAlignment="1">
      <alignment horizontal="center"/>
    </xf>
    <xf numFmtId="0" fontId="0" fillId="0" borderId="4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</cellXfs>
  <cellStyles count="4">
    <cellStyle name="差" xfId="1" builtinId="27"/>
    <cellStyle name="常规" xfId="0" builtinId="0"/>
    <cellStyle name="货币" xfId="2" builtinId="4"/>
    <cellStyle name="适中" xfId="3" builtinId="28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F22" sqref="F2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1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/>
      <c r="F32" s="9"/>
      <c r="G32" s="1"/>
      <c r="H32" s="6">
        <f t="shared" si="1"/>
        <v>0</v>
      </c>
      <c r="I32" s="1"/>
      <c r="J32" s="1"/>
    </row>
    <row r="33" spans="2:10" x14ac:dyDescent="0.2">
      <c r="E33" s="3"/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38"/>
  <sheetViews>
    <sheetView topLeftCell="A7" workbookViewId="0">
      <selection activeCell="G37" sqref="A1:XFD1048576"/>
    </sheetView>
  </sheetViews>
  <sheetFormatPr defaultRowHeight="14.25" x14ac:dyDescent="0.2"/>
  <cols>
    <col min="1" max="1" width="14.625" style="1" bestFit="1" customWidth="1"/>
    <col min="2" max="3" width="9" style="1"/>
    <col min="4" max="4" width="30.625" style="1" bestFit="1" customWidth="1"/>
    <col min="5" max="5" width="13" style="1" bestFit="1" customWidth="1"/>
    <col min="6" max="6" width="9" style="1"/>
    <col min="7" max="7" width="75.125" style="1" bestFit="1" customWidth="1"/>
    <col min="8" max="8" width="9.125" style="5" customWidth="1"/>
    <col min="9" max="9" width="7.125" style="1" bestFit="1" customWidth="1"/>
    <col min="10" max="10" width="13" style="1" bestFit="1" customWidth="1"/>
    <col min="11" max="11" width="27.625" style="1" bestFit="1" customWidth="1"/>
    <col min="12" max="13" width="11" style="1" bestFit="1" customWidth="1"/>
    <col min="14" max="14" width="17.25" style="1" bestFit="1" customWidth="1"/>
    <col min="15" max="15" width="13" style="1" bestFit="1" customWidth="1"/>
    <col min="16" max="16" width="13" style="1" customWidth="1"/>
    <col min="17" max="17" width="11" style="1" bestFit="1" customWidth="1"/>
    <col min="18" max="18" width="5.25" style="1" bestFit="1" customWidth="1"/>
    <col min="19" max="19" width="9" style="1"/>
    <col min="20" max="20" width="8.75" style="1" bestFit="1" customWidth="1"/>
    <col min="21" max="21" width="7.125" style="1" bestFit="1" customWidth="1"/>
    <col min="22" max="16384" width="9" style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3"/>
      <c r="J2" s="3">
        <f>AVERAGE(B2:B32)</f>
        <v>11</v>
      </c>
      <c r="K2" s="3">
        <f>SUM(B2:B31)</f>
        <v>330</v>
      </c>
      <c r="L2" s="3">
        <f>SUM(C2:C32)</f>
        <v>225</v>
      </c>
      <c r="M2" s="3">
        <f>SUM(F2:F32)</f>
        <v>229.18</v>
      </c>
      <c r="N2" s="3">
        <v>200</v>
      </c>
      <c r="O2" s="3">
        <f>SUM(J5:J48)</f>
        <v>10</v>
      </c>
      <c r="P2" s="3">
        <f>SUM(N2:O2)-M2+SUM(J5:J35)</f>
        <v>-9.1800000000000068</v>
      </c>
      <c r="Q2" s="3"/>
      <c r="T2" s="3">
        <f xml:space="preserve"> SUM(H2:H34)</f>
        <v>454.18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</row>
    <row r="4" spans="1:21" x14ac:dyDescent="0.2">
      <c r="A4" s="2">
        <v>46145</v>
      </c>
      <c r="B4" s="3">
        <v>11</v>
      </c>
      <c r="C4" s="3">
        <v>0</v>
      </c>
      <c r="E4" s="3">
        <f t="shared" si="0"/>
        <v>11</v>
      </c>
      <c r="F4" s="9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E5" s="3">
        <f t="shared" si="0"/>
        <v>11</v>
      </c>
      <c r="F5" s="9"/>
      <c r="H5" s="6">
        <f t="shared" si="1"/>
        <v>0</v>
      </c>
      <c r="J5" s="9">
        <v>10</v>
      </c>
      <c r="K5" s="1" t="s">
        <v>59</v>
      </c>
      <c r="L5" s="1" t="s">
        <v>61</v>
      </c>
    </row>
    <row r="6" spans="1:21" x14ac:dyDescent="0.2">
      <c r="A6" s="2">
        <v>46147</v>
      </c>
      <c r="B6" s="3">
        <v>11</v>
      </c>
      <c r="C6" s="3">
        <v>0</v>
      </c>
      <c r="E6" s="3">
        <f t="shared" si="0"/>
        <v>11</v>
      </c>
      <c r="F6" s="9"/>
      <c r="H6" s="6">
        <f t="shared" si="1"/>
        <v>0</v>
      </c>
      <c r="J6" s="9"/>
    </row>
    <row r="7" spans="1:21" x14ac:dyDescent="0.2">
      <c r="A7" s="2">
        <v>46148</v>
      </c>
      <c r="B7" s="3">
        <v>11</v>
      </c>
      <c r="C7" s="3">
        <v>10</v>
      </c>
      <c r="D7" s="3"/>
      <c r="E7" s="3">
        <f t="shared" si="0"/>
        <v>1</v>
      </c>
      <c r="F7" s="9">
        <v>9.3000000000000007</v>
      </c>
      <c r="G7" s="1" t="s">
        <v>63</v>
      </c>
      <c r="H7" s="6">
        <f t="shared" si="1"/>
        <v>19.3</v>
      </c>
      <c r="J7" s="9"/>
    </row>
    <row r="8" spans="1:21" x14ac:dyDescent="0.2">
      <c r="A8" s="2">
        <v>46149</v>
      </c>
      <c r="B8" s="3">
        <v>11</v>
      </c>
      <c r="C8" s="3">
        <v>11</v>
      </c>
      <c r="D8" s="3"/>
      <c r="E8" s="3">
        <f t="shared" si="0"/>
        <v>0</v>
      </c>
      <c r="F8" s="9">
        <v>12</v>
      </c>
      <c r="G8" s="1" t="s">
        <v>64</v>
      </c>
      <c r="H8" s="6">
        <f t="shared" si="1"/>
        <v>23</v>
      </c>
      <c r="J8" s="9"/>
    </row>
    <row r="9" spans="1:21" x14ac:dyDescent="0.2">
      <c r="A9" s="2">
        <v>46150</v>
      </c>
      <c r="B9" s="3">
        <v>11</v>
      </c>
      <c r="C9" s="3">
        <v>11</v>
      </c>
      <c r="D9" s="3"/>
      <c r="E9" s="3">
        <f t="shared" si="0"/>
        <v>0</v>
      </c>
      <c r="F9" s="9"/>
      <c r="H9" s="6">
        <f t="shared" si="1"/>
        <v>11</v>
      </c>
      <c r="J9" s="9"/>
    </row>
    <row r="10" spans="1:21" x14ac:dyDescent="0.2">
      <c r="A10" s="2">
        <v>46151</v>
      </c>
      <c r="B10" s="3">
        <v>11</v>
      </c>
      <c r="C10" s="9">
        <v>6</v>
      </c>
      <c r="D10" s="3"/>
      <c r="E10" s="3">
        <f t="shared" si="0"/>
        <v>5</v>
      </c>
      <c r="F10" s="9"/>
      <c r="H10" s="6">
        <f t="shared" si="1"/>
        <v>6</v>
      </c>
      <c r="J10" s="9"/>
    </row>
    <row r="11" spans="1:21" x14ac:dyDescent="0.2">
      <c r="A11" s="2">
        <v>46152</v>
      </c>
      <c r="B11" s="3">
        <v>11</v>
      </c>
      <c r="C11" s="9">
        <v>0</v>
      </c>
      <c r="D11" s="3"/>
      <c r="E11" s="3">
        <f t="shared" si="0"/>
        <v>11</v>
      </c>
      <c r="F11" s="9"/>
      <c r="H11" s="6">
        <f t="shared" si="1"/>
        <v>0</v>
      </c>
      <c r="J11" s="9"/>
    </row>
    <row r="12" spans="1:21" x14ac:dyDescent="0.2">
      <c r="A12" s="2">
        <v>46153</v>
      </c>
      <c r="B12" s="3">
        <v>11</v>
      </c>
      <c r="C12" s="9">
        <v>10</v>
      </c>
      <c r="E12" s="3">
        <f t="shared" si="0"/>
        <v>1</v>
      </c>
      <c r="F12" s="9">
        <v>68</v>
      </c>
      <c r="G12" s="1" t="s">
        <v>65</v>
      </c>
      <c r="H12" s="6">
        <f t="shared" si="1"/>
        <v>78</v>
      </c>
      <c r="J12" s="9"/>
    </row>
    <row r="13" spans="1:21" x14ac:dyDescent="0.2">
      <c r="A13" s="2">
        <v>46154</v>
      </c>
      <c r="B13" s="3">
        <v>11</v>
      </c>
      <c r="C13" s="9">
        <v>10</v>
      </c>
      <c r="D13" s="3"/>
      <c r="E13" s="3">
        <f t="shared" si="0"/>
        <v>1</v>
      </c>
      <c r="F13" s="9"/>
      <c r="H13" s="6">
        <f t="shared" si="1"/>
        <v>10</v>
      </c>
      <c r="J13" s="9"/>
    </row>
    <row r="14" spans="1:21" x14ac:dyDescent="0.2">
      <c r="A14" s="2">
        <v>46155</v>
      </c>
      <c r="B14" s="3">
        <v>11</v>
      </c>
      <c r="C14" s="9">
        <v>11</v>
      </c>
      <c r="D14" s="3"/>
      <c r="E14" s="3">
        <f t="shared" si="0"/>
        <v>0</v>
      </c>
      <c r="F14" s="9"/>
      <c r="H14" s="6">
        <f t="shared" si="1"/>
        <v>11</v>
      </c>
      <c r="J14" s="9"/>
    </row>
    <row r="15" spans="1:21" x14ac:dyDescent="0.2">
      <c r="A15" s="2">
        <v>46156</v>
      </c>
      <c r="B15" s="3">
        <v>11</v>
      </c>
      <c r="C15" s="9">
        <v>13</v>
      </c>
      <c r="D15" s="3"/>
      <c r="E15" s="3">
        <f t="shared" si="0"/>
        <v>-2</v>
      </c>
      <c r="F15" s="9"/>
      <c r="H15" s="6">
        <f t="shared" si="1"/>
        <v>13</v>
      </c>
      <c r="J15" s="9"/>
    </row>
    <row r="16" spans="1:21" x14ac:dyDescent="0.2">
      <c r="A16" s="2">
        <v>46157</v>
      </c>
      <c r="B16" s="3">
        <v>11</v>
      </c>
      <c r="C16" s="9">
        <v>10</v>
      </c>
      <c r="D16" s="3"/>
      <c r="E16" s="3">
        <f t="shared" si="0"/>
        <v>1</v>
      </c>
      <c r="F16" s="9"/>
      <c r="H16" s="6">
        <f t="shared" si="1"/>
        <v>10</v>
      </c>
      <c r="J16" s="9"/>
    </row>
    <row r="17" spans="1:10" x14ac:dyDescent="0.2">
      <c r="A17" s="2">
        <v>46158</v>
      </c>
      <c r="B17" s="3">
        <v>11</v>
      </c>
      <c r="C17" s="9">
        <v>0</v>
      </c>
      <c r="D17" s="3"/>
      <c r="E17" s="3">
        <f t="shared" si="0"/>
        <v>11</v>
      </c>
      <c r="F17" s="9"/>
      <c r="H17" s="6">
        <f>SUM(C17,F17)</f>
        <v>0</v>
      </c>
      <c r="J17" s="9"/>
    </row>
    <row r="18" spans="1:10" x14ac:dyDescent="0.2">
      <c r="A18" s="2">
        <v>46159</v>
      </c>
      <c r="B18" s="3">
        <v>11</v>
      </c>
      <c r="C18" s="9">
        <v>0</v>
      </c>
      <c r="D18" s="3"/>
      <c r="E18" s="3">
        <f t="shared" si="0"/>
        <v>11</v>
      </c>
      <c r="F18" s="9"/>
      <c r="H18" s="6">
        <f>SUM(C18,F18)</f>
        <v>0</v>
      </c>
      <c r="J18" s="9"/>
    </row>
    <row r="19" spans="1:10" x14ac:dyDescent="0.2">
      <c r="A19" s="2">
        <v>46160</v>
      </c>
      <c r="B19" s="3">
        <v>11</v>
      </c>
      <c r="C19" s="9">
        <v>13</v>
      </c>
      <c r="D19" s="3"/>
      <c r="E19" s="3">
        <f t="shared" si="0"/>
        <v>-2</v>
      </c>
      <c r="F19" s="9"/>
      <c r="H19" s="6">
        <f>SUM(C19,F19)</f>
        <v>13</v>
      </c>
      <c r="J19" s="9"/>
    </row>
    <row r="20" spans="1:10" x14ac:dyDescent="0.2">
      <c r="A20" s="2">
        <v>46161</v>
      </c>
      <c r="B20" s="3">
        <v>11</v>
      </c>
      <c r="C20" s="9">
        <v>10</v>
      </c>
      <c r="D20" s="3"/>
      <c r="E20" s="3">
        <f t="shared" si="0"/>
        <v>1</v>
      </c>
      <c r="F20" s="9"/>
      <c r="H20" s="6">
        <f t="shared" si="1"/>
        <v>10</v>
      </c>
      <c r="J20" s="9"/>
    </row>
    <row r="21" spans="1:10" x14ac:dyDescent="0.2">
      <c r="A21" s="2">
        <v>46162</v>
      </c>
      <c r="B21" s="3">
        <v>11</v>
      </c>
      <c r="C21" s="9">
        <v>11</v>
      </c>
      <c r="D21" s="3"/>
      <c r="E21" s="3">
        <f t="shared" si="0"/>
        <v>0</v>
      </c>
      <c r="F21" s="9">
        <v>50</v>
      </c>
      <c r="G21" s="1" t="s">
        <v>66</v>
      </c>
      <c r="H21" s="6">
        <f t="shared" si="1"/>
        <v>61</v>
      </c>
      <c r="J21" s="9"/>
    </row>
    <row r="22" spans="1:10" x14ac:dyDescent="0.2">
      <c r="A22" s="2">
        <v>46163</v>
      </c>
      <c r="B22" s="3">
        <v>11</v>
      </c>
      <c r="C22" s="9">
        <v>11</v>
      </c>
      <c r="D22" s="3"/>
      <c r="E22" s="3">
        <f t="shared" si="0"/>
        <v>0</v>
      </c>
      <c r="F22" s="9"/>
      <c r="H22" s="6">
        <f t="shared" si="1"/>
        <v>11</v>
      </c>
    </row>
    <row r="23" spans="1:10" x14ac:dyDescent="0.2">
      <c r="A23" s="2">
        <v>46164</v>
      </c>
      <c r="B23" s="3">
        <v>11</v>
      </c>
      <c r="C23" s="9">
        <v>11</v>
      </c>
      <c r="D23" s="3"/>
      <c r="E23" s="3">
        <f t="shared" si="0"/>
        <v>0</v>
      </c>
      <c r="F23" s="9"/>
      <c r="H23" s="6">
        <f t="shared" si="1"/>
        <v>11</v>
      </c>
    </row>
    <row r="24" spans="1:10" x14ac:dyDescent="0.2">
      <c r="A24" s="2">
        <v>46165</v>
      </c>
      <c r="B24" s="3">
        <v>11</v>
      </c>
      <c r="C24" s="9"/>
      <c r="D24" s="3"/>
      <c r="E24" s="3">
        <f t="shared" si="0"/>
        <v>11</v>
      </c>
      <c r="F24" s="9"/>
      <c r="H24" s="6">
        <f t="shared" si="1"/>
        <v>0</v>
      </c>
    </row>
    <row r="25" spans="1:10" x14ac:dyDescent="0.2">
      <c r="A25" s="2">
        <v>46166</v>
      </c>
      <c r="B25" s="3">
        <v>11</v>
      </c>
      <c r="C25" s="9">
        <v>21</v>
      </c>
      <c r="D25" s="3"/>
      <c r="E25" s="3">
        <f t="shared" si="0"/>
        <v>-10</v>
      </c>
      <c r="F25" s="9"/>
      <c r="H25" s="6">
        <f t="shared" si="1"/>
        <v>21</v>
      </c>
    </row>
    <row r="26" spans="1:10" x14ac:dyDescent="0.2">
      <c r="A26" s="2">
        <v>46167</v>
      </c>
      <c r="B26" s="3">
        <v>11</v>
      </c>
      <c r="C26" s="9">
        <v>11</v>
      </c>
      <c r="D26" s="3"/>
      <c r="E26" s="3">
        <f t="shared" si="0"/>
        <v>0</v>
      </c>
      <c r="F26" s="9"/>
      <c r="H26" s="6">
        <f t="shared" si="1"/>
        <v>11</v>
      </c>
    </row>
    <row r="27" spans="1:10" x14ac:dyDescent="0.2">
      <c r="A27" s="2">
        <v>46168</v>
      </c>
      <c r="B27" s="3">
        <v>11</v>
      </c>
      <c r="C27" s="9">
        <v>10</v>
      </c>
      <c r="D27" s="3"/>
      <c r="E27" s="3">
        <f t="shared" si="0"/>
        <v>1</v>
      </c>
      <c r="F27" s="9"/>
      <c r="H27" s="6">
        <f>SUM(C27,F27)</f>
        <v>10</v>
      </c>
    </row>
    <row r="28" spans="1:10" x14ac:dyDescent="0.2">
      <c r="A28" s="2">
        <v>46169</v>
      </c>
      <c r="B28" s="3">
        <v>11</v>
      </c>
      <c r="C28" s="9">
        <v>11</v>
      </c>
      <c r="D28" s="3"/>
      <c r="E28" s="3">
        <f t="shared" si="0"/>
        <v>0</v>
      </c>
      <c r="F28" s="9"/>
      <c r="H28" s="6">
        <f t="shared" si="1"/>
        <v>11</v>
      </c>
    </row>
    <row r="29" spans="1:10" x14ac:dyDescent="0.2">
      <c r="A29" s="2">
        <v>46170</v>
      </c>
      <c r="B29" s="3">
        <v>11</v>
      </c>
      <c r="C29" s="9">
        <v>13</v>
      </c>
      <c r="D29" s="3"/>
      <c r="E29" s="3">
        <f t="shared" si="0"/>
        <v>-2</v>
      </c>
      <c r="F29" s="9"/>
      <c r="H29" s="6">
        <f t="shared" si="1"/>
        <v>13</v>
      </c>
    </row>
    <row r="30" spans="1:10" x14ac:dyDescent="0.2">
      <c r="A30" s="2">
        <v>46171</v>
      </c>
      <c r="B30" s="3">
        <v>11</v>
      </c>
      <c r="C30" s="9">
        <v>11</v>
      </c>
      <c r="E30" s="3">
        <f t="shared" si="0"/>
        <v>0</v>
      </c>
      <c r="F30" s="9"/>
      <c r="H30" s="6">
        <f t="shared" si="1"/>
        <v>11</v>
      </c>
    </row>
    <row r="31" spans="1:10" x14ac:dyDescent="0.2">
      <c r="A31" s="2">
        <v>46172</v>
      </c>
      <c r="B31" s="3">
        <v>11</v>
      </c>
      <c r="C31" s="9"/>
      <c r="E31" s="3">
        <f t="shared" si="0"/>
        <v>11</v>
      </c>
      <c r="F31" s="9"/>
      <c r="H31" s="6">
        <f t="shared" si="1"/>
        <v>0</v>
      </c>
    </row>
    <row r="32" spans="1:10" x14ac:dyDescent="0.2">
      <c r="A32" s="2">
        <v>46173</v>
      </c>
      <c r="B32" s="3">
        <v>11</v>
      </c>
      <c r="E32" s="3">
        <f t="shared" si="0"/>
        <v>11</v>
      </c>
      <c r="F32" s="9"/>
      <c r="H32" s="6">
        <f t="shared" si="1"/>
        <v>0</v>
      </c>
    </row>
    <row r="33" spans="1:8" x14ac:dyDescent="0.2">
      <c r="A33" s="2"/>
      <c r="E33" s="3">
        <f t="shared" si="0"/>
        <v>0</v>
      </c>
      <c r="F33" s="9"/>
      <c r="H33" s="6">
        <f t="shared" si="1"/>
        <v>0</v>
      </c>
    </row>
    <row r="34" spans="1:8" x14ac:dyDescent="0.2">
      <c r="A34" s="2"/>
      <c r="F34" s="9"/>
      <c r="H34" s="6">
        <f t="shared" si="1"/>
        <v>0</v>
      </c>
    </row>
    <row r="35" spans="1:8" x14ac:dyDescent="0.2">
      <c r="A35" s="2"/>
    </row>
    <row r="36" spans="1:8" x14ac:dyDescent="0.2">
      <c r="A36" s="2"/>
    </row>
    <row r="37" spans="1:8" x14ac:dyDescent="0.2">
      <c r="A37" s="2"/>
    </row>
    <row r="38" spans="1:8" x14ac:dyDescent="0.2">
      <c r="A38" s="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37FA4-0EB1-474D-A83A-8F989D2F3B19}">
  <dimension ref="A1:Q38"/>
  <sheetViews>
    <sheetView tabSelected="1" topLeftCell="E1" workbookViewId="0">
      <selection activeCell="P9" sqref="P9"/>
    </sheetView>
  </sheetViews>
  <sheetFormatPr defaultRowHeight="14.25" x14ac:dyDescent="0.2"/>
  <cols>
    <col min="1" max="1" width="14.625" style="1" bestFit="1" customWidth="1"/>
    <col min="2" max="3" width="9" style="1"/>
    <col min="4" max="4" width="30.625" style="1" bestFit="1" customWidth="1"/>
    <col min="5" max="5" width="13" style="1" bestFit="1" customWidth="1"/>
    <col min="6" max="6" width="9" style="1"/>
    <col min="7" max="7" width="75.125" style="1" bestFit="1" customWidth="1"/>
    <col min="8" max="8" width="8.875" style="5" bestFit="1" customWidth="1"/>
    <col min="9" max="9" width="28.75" style="1" bestFit="1" customWidth="1"/>
    <col min="10" max="10" width="17.25" style="1" bestFit="1" customWidth="1"/>
    <col min="11" max="11" width="19.25" style="1" bestFit="1" customWidth="1"/>
    <col min="12" max="12" width="11" style="1" bestFit="1" customWidth="1"/>
    <col min="13" max="13" width="17.25" style="1" bestFit="1" customWidth="1"/>
    <col min="14" max="14" width="13" style="1" bestFit="1" customWidth="1"/>
    <col min="15" max="15" width="13" style="1" customWidth="1"/>
    <col min="16" max="16" width="39.25" style="1" bestFit="1" customWidth="1"/>
    <col min="17" max="17" width="9" style="1"/>
    <col min="18" max="18" width="8.75" style="1" bestFit="1" customWidth="1"/>
    <col min="19" max="16384" width="9" style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73</v>
      </c>
      <c r="I1" s="1" t="s">
        <v>8</v>
      </c>
      <c r="J1" s="1" t="s">
        <v>7</v>
      </c>
      <c r="K1" s="1" t="s">
        <v>9</v>
      </c>
      <c r="L1" s="1" t="s">
        <v>10</v>
      </c>
      <c r="M1" s="1" t="s">
        <v>16</v>
      </c>
      <c r="N1" s="1" t="s">
        <v>23</v>
      </c>
      <c r="O1" s="1" t="s">
        <v>21</v>
      </c>
      <c r="P1" s="1" t="s">
        <v>17</v>
      </c>
      <c r="Q1" s="1" t="s">
        <v>18</v>
      </c>
    </row>
    <row r="2" spans="1:17" x14ac:dyDescent="0.2">
      <c r="A2" s="2">
        <v>46174</v>
      </c>
      <c r="B2" s="3">
        <v>11</v>
      </c>
      <c r="C2" s="3"/>
      <c r="D2" s="3"/>
      <c r="E2" s="3">
        <f>B2-C2</f>
        <v>11</v>
      </c>
      <c r="F2" s="3"/>
      <c r="H2" s="6">
        <f>SUM(C2,F2)</f>
        <v>0</v>
      </c>
      <c r="I2" s="3">
        <f>AVERAGE(B2:B32)</f>
        <v>11</v>
      </c>
      <c r="J2" s="3">
        <f>SUM(B2:B36)</f>
        <v>330</v>
      </c>
      <c r="K2" s="3">
        <f>SUM(C2:C32)</f>
        <v>150.17000000000002</v>
      </c>
      <c r="L2" s="3">
        <f>SUM(F2:F32)+SUM(M14:M15)-SUM(J14:J16)</f>
        <v>202.58333333333331</v>
      </c>
      <c r="M2" s="3">
        <v>300</v>
      </c>
      <c r="N2" s="3">
        <f>SUM(I5:I48)</f>
        <v>0</v>
      </c>
      <c r="O2" s="3">
        <f>SUM(M2:N2)-L2</f>
        <v>97.416666666666686</v>
      </c>
      <c r="P2" s="1" t="s">
        <v>88</v>
      </c>
    </row>
    <row r="3" spans="1:17" x14ac:dyDescent="0.2">
      <c r="A3" s="2">
        <v>46175</v>
      </c>
      <c r="B3" s="3">
        <v>11</v>
      </c>
      <c r="C3" s="3">
        <v>12</v>
      </c>
      <c r="D3" s="3"/>
      <c r="E3" s="3">
        <f t="shared" ref="E3:E31" si="0">B3-C3</f>
        <v>-1</v>
      </c>
      <c r="F3" s="9"/>
      <c r="H3" s="6">
        <f t="shared" ref="H3:H31" si="1">SUM(C3,F3)</f>
        <v>12</v>
      </c>
    </row>
    <row r="4" spans="1:17" x14ac:dyDescent="0.2">
      <c r="A4" s="2">
        <v>46176</v>
      </c>
      <c r="B4" s="3">
        <v>11</v>
      </c>
      <c r="C4" s="3">
        <v>13</v>
      </c>
      <c r="E4" s="3">
        <f t="shared" si="0"/>
        <v>-2</v>
      </c>
      <c r="F4" s="9"/>
      <c r="H4" s="6">
        <f t="shared" si="1"/>
        <v>13</v>
      </c>
      <c r="I4" s="1" t="s">
        <v>23</v>
      </c>
      <c r="J4" s="1" t="s">
        <v>22</v>
      </c>
      <c r="K4" s="1" t="s">
        <v>60</v>
      </c>
      <c r="L4" s="1" t="s">
        <v>24</v>
      </c>
      <c r="M4" s="1" t="s">
        <v>38</v>
      </c>
      <c r="N4" s="1" t="s">
        <v>11</v>
      </c>
      <c r="O4" s="1" t="s">
        <v>84</v>
      </c>
    </row>
    <row r="5" spans="1:17" x14ac:dyDescent="0.2">
      <c r="A5" s="2">
        <v>46177</v>
      </c>
      <c r="B5" s="3">
        <v>11</v>
      </c>
      <c r="C5" s="3">
        <v>12</v>
      </c>
      <c r="E5" s="3">
        <f t="shared" si="0"/>
        <v>-1</v>
      </c>
      <c r="F5" s="9"/>
      <c r="H5" s="6">
        <f t="shared" si="1"/>
        <v>12</v>
      </c>
      <c r="I5" s="9"/>
      <c r="N5" s="3">
        <f xml:space="preserve"> K2+L2</f>
        <v>352.75333333333333</v>
      </c>
      <c r="O5" s="12">
        <f>SUM(M26:M33)</f>
        <v>42</v>
      </c>
    </row>
    <row r="6" spans="1:17" x14ac:dyDescent="0.2">
      <c r="A6" s="2">
        <v>46178</v>
      </c>
      <c r="B6" s="3">
        <v>11</v>
      </c>
      <c r="C6" s="3">
        <v>10</v>
      </c>
      <c r="E6" s="3">
        <f t="shared" si="0"/>
        <v>1</v>
      </c>
      <c r="F6" s="9"/>
      <c r="H6" s="6">
        <f t="shared" si="1"/>
        <v>10</v>
      </c>
      <c r="I6" s="9"/>
    </row>
    <row r="7" spans="1:17" x14ac:dyDescent="0.2">
      <c r="A7" s="2">
        <v>46179</v>
      </c>
      <c r="B7" s="3">
        <v>11</v>
      </c>
      <c r="C7" s="3">
        <v>11.38</v>
      </c>
      <c r="D7" s="3"/>
      <c r="E7" s="3">
        <f t="shared" si="0"/>
        <v>-0.38000000000000078</v>
      </c>
      <c r="F7" s="9">
        <v>100</v>
      </c>
      <c r="G7" s="11" t="s">
        <v>76</v>
      </c>
      <c r="H7" s="6">
        <f t="shared" si="1"/>
        <v>111.38</v>
      </c>
      <c r="I7" s="9"/>
    </row>
    <row r="8" spans="1:17" x14ac:dyDescent="0.2">
      <c r="A8" s="2">
        <v>46180</v>
      </c>
      <c r="B8" s="3">
        <v>11</v>
      </c>
      <c r="C8" s="3">
        <v>9.7899999999999991</v>
      </c>
      <c r="D8" s="3"/>
      <c r="E8" s="3">
        <f t="shared" si="0"/>
        <v>1.2100000000000009</v>
      </c>
      <c r="F8" s="9"/>
      <c r="H8" s="6">
        <f t="shared" si="1"/>
        <v>9.7899999999999991</v>
      </c>
      <c r="I8" s="9"/>
    </row>
    <row r="9" spans="1:17" x14ac:dyDescent="0.2">
      <c r="A9" s="2">
        <v>46181</v>
      </c>
      <c r="B9" s="3">
        <v>11</v>
      </c>
      <c r="C9" s="3">
        <v>13</v>
      </c>
      <c r="D9" s="3"/>
      <c r="E9" s="3">
        <f t="shared" si="0"/>
        <v>-2</v>
      </c>
      <c r="F9" s="9"/>
      <c r="H9" s="6">
        <f t="shared" si="1"/>
        <v>13</v>
      </c>
      <c r="I9" s="9"/>
    </row>
    <row r="10" spans="1:17" x14ac:dyDescent="0.2">
      <c r="A10" s="2">
        <v>46182</v>
      </c>
      <c r="B10" s="3">
        <v>11</v>
      </c>
      <c r="C10" s="9">
        <v>12</v>
      </c>
      <c r="D10" s="3"/>
      <c r="E10" s="3">
        <f t="shared" si="0"/>
        <v>-1</v>
      </c>
      <c r="F10" s="9"/>
      <c r="H10" s="6">
        <f t="shared" si="1"/>
        <v>12</v>
      </c>
      <c r="I10" s="9"/>
    </row>
    <row r="11" spans="1:17" x14ac:dyDescent="0.2">
      <c r="A11" s="2">
        <v>46183</v>
      </c>
      <c r="B11" s="3">
        <v>11</v>
      </c>
      <c r="C11" s="9">
        <v>10</v>
      </c>
      <c r="D11" s="3"/>
      <c r="E11" s="3">
        <f t="shared" si="0"/>
        <v>1</v>
      </c>
      <c r="F11" s="9">
        <v>111</v>
      </c>
      <c r="G11" s="11" t="s">
        <v>75</v>
      </c>
      <c r="H11" s="6">
        <f t="shared" si="1"/>
        <v>121</v>
      </c>
      <c r="I11" s="9"/>
    </row>
    <row r="12" spans="1:17" x14ac:dyDescent="0.2">
      <c r="A12" s="2">
        <v>46184</v>
      </c>
      <c r="B12" s="3">
        <v>11</v>
      </c>
      <c r="C12" s="9">
        <v>11</v>
      </c>
      <c r="E12" s="3">
        <f t="shared" si="0"/>
        <v>0</v>
      </c>
      <c r="F12" s="9"/>
      <c r="H12" s="6">
        <f t="shared" si="1"/>
        <v>11</v>
      </c>
      <c r="I12" s="13" t="s">
        <v>72</v>
      </c>
      <c r="J12" s="14"/>
      <c r="K12" s="14"/>
      <c r="L12" s="14"/>
      <c r="M12" s="28"/>
    </row>
    <row r="13" spans="1:17" x14ac:dyDescent="0.2">
      <c r="A13" s="2">
        <v>46185</v>
      </c>
      <c r="B13" s="3">
        <v>11</v>
      </c>
      <c r="C13" s="9">
        <v>12</v>
      </c>
      <c r="D13" s="3"/>
      <c r="E13" s="3">
        <f t="shared" si="0"/>
        <v>-1</v>
      </c>
      <c r="F13" s="9">
        <v>80</v>
      </c>
      <c r="G13" s="1" t="s">
        <v>82</v>
      </c>
      <c r="H13" s="6">
        <f t="shared" si="1"/>
        <v>92</v>
      </c>
      <c r="I13" s="16" t="s">
        <v>67</v>
      </c>
      <c r="J13" s="17" t="s">
        <v>68</v>
      </c>
      <c r="K13" s="17" t="s">
        <v>71</v>
      </c>
      <c r="L13" s="17" t="s">
        <v>78</v>
      </c>
      <c r="M13" s="23" t="s">
        <v>77</v>
      </c>
    </row>
    <row r="14" spans="1:17" x14ac:dyDescent="0.2">
      <c r="A14" s="2">
        <v>46186</v>
      </c>
      <c r="B14" s="3">
        <v>11</v>
      </c>
      <c r="C14" s="9">
        <v>13</v>
      </c>
      <c r="D14" s="3" t="s">
        <v>79</v>
      </c>
      <c r="E14" s="3">
        <f t="shared" si="0"/>
        <v>-2</v>
      </c>
      <c r="F14" s="9">
        <v>105</v>
      </c>
      <c r="G14" s="1" t="s">
        <v>83</v>
      </c>
      <c r="H14" s="6">
        <f t="shared" si="1"/>
        <v>118</v>
      </c>
      <c r="I14" s="16" t="s">
        <v>69</v>
      </c>
      <c r="J14" s="20">
        <v>111</v>
      </c>
      <c r="K14" s="18">
        <v>12</v>
      </c>
      <c r="L14" s="29">
        <v>46539</v>
      </c>
      <c r="M14" s="22">
        <f>J14/K14</f>
        <v>9.25</v>
      </c>
    </row>
    <row r="15" spans="1:17" x14ac:dyDescent="0.2">
      <c r="A15" s="2">
        <v>46187</v>
      </c>
      <c r="B15" s="3">
        <v>11</v>
      </c>
      <c r="C15" s="9">
        <v>11</v>
      </c>
      <c r="D15" s="3" t="s">
        <v>79</v>
      </c>
      <c r="E15" s="3">
        <f t="shared" si="0"/>
        <v>0</v>
      </c>
      <c r="F15" s="9"/>
      <c r="H15" s="6">
        <f t="shared" si="1"/>
        <v>11</v>
      </c>
      <c r="I15" s="16" t="s">
        <v>70</v>
      </c>
      <c r="J15" s="20">
        <v>100</v>
      </c>
      <c r="K15" s="18">
        <v>12</v>
      </c>
      <c r="L15" s="29">
        <v>46539</v>
      </c>
      <c r="M15" s="22">
        <f>J15/K15</f>
        <v>8.3333333333333339</v>
      </c>
    </row>
    <row r="16" spans="1:17" x14ac:dyDescent="0.2">
      <c r="A16" s="2">
        <v>46188</v>
      </c>
      <c r="B16" s="3">
        <v>11</v>
      </c>
      <c r="C16" s="9"/>
      <c r="D16" s="3"/>
      <c r="E16" s="3">
        <f t="shared" si="0"/>
        <v>11</v>
      </c>
      <c r="F16" s="9"/>
      <c r="H16" s="6">
        <f t="shared" si="1"/>
        <v>0</v>
      </c>
      <c r="I16" s="16"/>
      <c r="J16" s="18"/>
      <c r="K16" s="18"/>
      <c r="L16" s="17"/>
      <c r="M16" s="22"/>
    </row>
    <row r="17" spans="1:15" x14ac:dyDescent="0.2">
      <c r="A17" s="2">
        <v>46189</v>
      </c>
      <c r="B17" s="3">
        <v>11</v>
      </c>
      <c r="C17" s="9"/>
      <c r="D17" s="3"/>
      <c r="E17" s="3">
        <f t="shared" si="0"/>
        <v>11</v>
      </c>
      <c r="F17" s="9"/>
      <c r="H17" s="6">
        <f>SUM(C17,F17)</f>
        <v>0</v>
      </c>
      <c r="I17" s="24"/>
      <c r="J17" s="17"/>
      <c r="K17" s="17"/>
      <c r="L17" s="17"/>
      <c r="M17" s="23"/>
    </row>
    <row r="18" spans="1:15" x14ac:dyDescent="0.2">
      <c r="A18" s="2">
        <v>46190</v>
      </c>
      <c r="B18" s="3">
        <v>11</v>
      </c>
      <c r="C18" s="9"/>
      <c r="D18" s="3"/>
      <c r="E18" s="3">
        <f t="shared" si="0"/>
        <v>11</v>
      </c>
      <c r="F18" s="9"/>
      <c r="H18" s="6">
        <f>SUM(C18,F18)</f>
        <v>0</v>
      </c>
      <c r="I18" s="24"/>
      <c r="J18" s="17"/>
      <c r="K18" s="17"/>
      <c r="L18" s="17"/>
      <c r="M18" s="23"/>
    </row>
    <row r="19" spans="1:15" x14ac:dyDescent="0.2">
      <c r="A19" s="2">
        <v>46191</v>
      </c>
      <c r="B19" s="3">
        <v>11</v>
      </c>
      <c r="C19" s="9"/>
      <c r="D19" s="3"/>
      <c r="E19" s="3">
        <f t="shared" si="0"/>
        <v>11</v>
      </c>
      <c r="F19" s="9"/>
      <c r="H19" s="6">
        <f>SUM(C19,F19)</f>
        <v>0</v>
      </c>
      <c r="I19" s="24"/>
      <c r="J19" s="17"/>
      <c r="K19" s="17"/>
      <c r="L19" s="17"/>
      <c r="M19" s="23"/>
    </row>
    <row r="20" spans="1:15" x14ac:dyDescent="0.2">
      <c r="A20" s="2">
        <v>46192</v>
      </c>
      <c r="B20" s="3">
        <v>11</v>
      </c>
      <c r="C20" s="9"/>
      <c r="D20" s="3"/>
      <c r="E20" s="3">
        <f t="shared" si="0"/>
        <v>11</v>
      </c>
      <c r="F20" s="9"/>
      <c r="H20" s="6">
        <f t="shared" si="1"/>
        <v>0</v>
      </c>
      <c r="I20" s="25"/>
      <c r="J20" s="26"/>
      <c r="K20" s="26"/>
      <c r="L20" s="26"/>
      <c r="M20" s="27"/>
    </row>
    <row r="21" spans="1:15" x14ac:dyDescent="0.2">
      <c r="A21" s="2">
        <v>46193</v>
      </c>
      <c r="B21" s="3">
        <v>11</v>
      </c>
      <c r="C21" s="9"/>
      <c r="D21" s="3"/>
      <c r="E21" s="3">
        <f t="shared" si="0"/>
        <v>11</v>
      </c>
      <c r="F21" s="9"/>
      <c r="H21" s="6">
        <f t="shared" si="1"/>
        <v>0</v>
      </c>
    </row>
    <row r="22" spans="1:15" x14ac:dyDescent="0.2">
      <c r="A22" s="2">
        <v>46194</v>
      </c>
      <c r="B22" s="3">
        <v>11</v>
      </c>
      <c r="C22" s="9"/>
      <c r="D22" s="3"/>
      <c r="E22" s="3">
        <f t="shared" si="0"/>
        <v>11</v>
      </c>
      <c r="F22" s="9"/>
      <c r="H22" s="6">
        <f t="shared" si="1"/>
        <v>0</v>
      </c>
    </row>
    <row r="23" spans="1:15" x14ac:dyDescent="0.2">
      <c r="A23" s="2">
        <v>46195</v>
      </c>
      <c r="B23" s="3">
        <v>11</v>
      </c>
      <c r="C23" s="9"/>
      <c r="D23" s="3"/>
      <c r="E23" s="3">
        <f t="shared" si="0"/>
        <v>11</v>
      </c>
      <c r="F23" s="9"/>
      <c r="H23" s="6">
        <f t="shared" si="1"/>
        <v>0</v>
      </c>
    </row>
    <row r="24" spans="1:15" x14ac:dyDescent="0.2">
      <c r="A24" s="2">
        <v>46196</v>
      </c>
      <c r="B24" s="3">
        <v>11</v>
      </c>
      <c r="C24" s="9"/>
      <c r="D24" s="3"/>
      <c r="E24" s="3">
        <f t="shared" si="0"/>
        <v>11</v>
      </c>
      <c r="F24" s="9"/>
      <c r="H24" s="6">
        <f t="shared" si="1"/>
        <v>0</v>
      </c>
      <c r="I24" s="13" t="s">
        <v>86</v>
      </c>
      <c r="J24" s="14"/>
      <c r="K24" s="14"/>
      <c r="L24" s="14"/>
      <c r="M24" s="15"/>
      <c r="N24" s="30" t="s">
        <v>87</v>
      </c>
      <c r="O24" s="31"/>
    </row>
    <row r="25" spans="1:15" x14ac:dyDescent="0.2">
      <c r="A25" s="2">
        <v>46197</v>
      </c>
      <c r="B25" s="3">
        <v>11</v>
      </c>
      <c r="C25" s="9"/>
      <c r="D25" s="3"/>
      <c r="E25" s="3">
        <f t="shared" si="0"/>
        <v>11</v>
      </c>
      <c r="F25" s="9"/>
      <c r="H25" s="6">
        <f t="shared" si="1"/>
        <v>0</v>
      </c>
      <c r="I25" s="16" t="s">
        <v>67</v>
      </c>
      <c r="J25" s="17" t="s">
        <v>68</v>
      </c>
      <c r="K25" s="18" t="s">
        <v>85</v>
      </c>
      <c r="L25" s="18" t="s">
        <v>74</v>
      </c>
      <c r="M25" s="19" t="s">
        <v>81</v>
      </c>
      <c r="N25" s="30"/>
      <c r="O25" s="31"/>
    </row>
    <row r="26" spans="1:15" x14ac:dyDescent="0.2">
      <c r="A26" s="2">
        <v>46198</v>
      </c>
      <c r="B26" s="3">
        <v>11</v>
      </c>
      <c r="C26" s="9"/>
      <c r="D26" s="3"/>
      <c r="E26" s="3">
        <f t="shared" si="0"/>
        <v>11</v>
      </c>
      <c r="F26" s="9"/>
      <c r="H26" s="6">
        <f t="shared" si="1"/>
        <v>0</v>
      </c>
      <c r="I26" s="16" t="s">
        <v>80</v>
      </c>
      <c r="J26" s="20">
        <v>105</v>
      </c>
      <c r="K26" s="21">
        <v>0.4</v>
      </c>
      <c r="L26" s="20">
        <f>J26*(1-K26)</f>
        <v>63</v>
      </c>
      <c r="M26" s="22">
        <f>J26-L26</f>
        <v>42</v>
      </c>
      <c r="N26" s="30"/>
      <c r="O26" s="31"/>
    </row>
    <row r="27" spans="1:15" x14ac:dyDescent="0.2">
      <c r="A27" s="2">
        <v>46199</v>
      </c>
      <c r="B27" s="3">
        <v>11</v>
      </c>
      <c r="C27" s="9"/>
      <c r="D27" s="3"/>
      <c r="E27" s="3">
        <f t="shared" si="0"/>
        <v>11</v>
      </c>
      <c r="F27" s="9"/>
      <c r="H27" s="6">
        <f>SUM(C27,F27)</f>
        <v>0</v>
      </c>
      <c r="I27" s="16"/>
      <c r="J27" s="17"/>
      <c r="K27" s="17"/>
      <c r="L27" s="17"/>
      <c r="M27" s="23"/>
      <c r="N27" s="30"/>
      <c r="O27" s="31"/>
    </row>
    <row r="28" spans="1:15" x14ac:dyDescent="0.2">
      <c r="A28" s="2">
        <v>46200</v>
      </c>
      <c r="B28" s="3">
        <v>11</v>
      </c>
      <c r="C28" s="9"/>
      <c r="D28" s="3"/>
      <c r="E28" s="3">
        <f t="shared" si="0"/>
        <v>11</v>
      </c>
      <c r="F28" s="9"/>
      <c r="H28" s="6">
        <f t="shared" si="1"/>
        <v>0</v>
      </c>
      <c r="I28" s="16"/>
      <c r="J28" s="17"/>
      <c r="K28" s="17"/>
      <c r="L28" s="17"/>
      <c r="M28" s="23"/>
      <c r="N28" s="30"/>
      <c r="O28" s="31"/>
    </row>
    <row r="29" spans="1:15" x14ac:dyDescent="0.2">
      <c r="A29" s="2">
        <v>46201</v>
      </c>
      <c r="B29" s="3">
        <v>11</v>
      </c>
      <c r="C29" s="9"/>
      <c r="D29" s="3"/>
      <c r="E29" s="3">
        <f t="shared" si="0"/>
        <v>11</v>
      </c>
      <c r="F29" s="9"/>
      <c r="H29" s="6">
        <f t="shared" si="1"/>
        <v>0</v>
      </c>
      <c r="I29" s="24"/>
      <c r="J29" s="17"/>
      <c r="K29" s="17"/>
      <c r="L29" s="17"/>
      <c r="M29" s="23"/>
      <c r="N29" s="30"/>
      <c r="O29" s="31"/>
    </row>
    <row r="30" spans="1:15" x14ac:dyDescent="0.2">
      <c r="A30" s="2">
        <v>46202</v>
      </c>
      <c r="B30" s="3">
        <v>11</v>
      </c>
      <c r="C30" s="9"/>
      <c r="E30" s="3">
        <f t="shared" si="0"/>
        <v>11</v>
      </c>
      <c r="F30" s="9"/>
      <c r="H30" s="6">
        <f t="shared" si="1"/>
        <v>0</v>
      </c>
      <c r="I30" s="24"/>
      <c r="J30" s="17"/>
      <c r="K30" s="17"/>
      <c r="L30" s="17"/>
      <c r="M30" s="23"/>
      <c r="N30" s="30"/>
      <c r="O30" s="31"/>
    </row>
    <row r="31" spans="1:15" x14ac:dyDescent="0.2">
      <c r="A31" s="2">
        <v>46203</v>
      </c>
      <c r="B31" s="3">
        <v>11</v>
      </c>
      <c r="C31" s="9"/>
      <c r="E31" s="3">
        <f t="shared" si="0"/>
        <v>11</v>
      </c>
      <c r="F31" s="9"/>
      <c r="H31" s="6">
        <f t="shared" si="1"/>
        <v>0</v>
      </c>
      <c r="I31" s="24"/>
      <c r="J31" s="17"/>
      <c r="K31" s="17"/>
      <c r="L31" s="17"/>
      <c r="M31" s="23"/>
      <c r="N31" s="30"/>
      <c r="O31" s="31"/>
    </row>
    <row r="32" spans="1:15" x14ac:dyDescent="0.2">
      <c r="A32" s="2"/>
      <c r="B32" s="3"/>
      <c r="E32" s="3"/>
      <c r="F32" s="9"/>
      <c r="H32" s="6"/>
      <c r="I32" s="25"/>
      <c r="J32" s="26"/>
      <c r="K32" s="26"/>
      <c r="L32" s="26"/>
      <c r="M32" s="27"/>
      <c r="N32" s="30"/>
      <c r="O32" s="31"/>
    </row>
    <row r="33" spans="1:8" x14ac:dyDescent="0.2">
      <c r="A33" s="2"/>
      <c r="E33" s="3"/>
      <c r="F33" s="9"/>
      <c r="H33" s="5" t="s">
        <v>74</v>
      </c>
    </row>
    <row r="34" spans="1:8" x14ac:dyDescent="0.2">
      <c r="A34" s="2"/>
      <c r="F34" s="9"/>
      <c r="H34" s="6">
        <f>SUM(H2:H32)</f>
        <v>546.16999999999996</v>
      </c>
    </row>
    <row r="35" spans="1:8" x14ac:dyDescent="0.2">
      <c r="A35" s="2"/>
      <c r="H35" s="6"/>
    </row>
    <row r="36" spans="1:8" x14ac:dyDescent="0.2">
      <c r="A36" s="2"/>
    </row>
    <row r="37" spans="1:8" x14ac:dyDescent="0.2">
      <c r="A37" s="2"/>
    </row>
    <row r="38" spans="1:8" x14ac:dyDescent="0.2">
      <c r="A38" s="2"/>
    </row>
  </sheetData>
  <mergeCells count="3">
    <mergeCell ref="I12:L12"/>
    <mergeCell ref="I24:L24"/>
    <mergeCell ref="N24:O3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261D-676A-4238-BFE3-629FB440D984}">
  <dimension ref="A1"/>
  <sheetViews>
    <sheetView workbookViewId="0"/>
  </sheetViews>
  <sheetFormatPr defaultRowHeight="14.25" x14ac:dyDescent="0.2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三月</vt:lpstr>
      <vt:lpstr>四月</vt:lpstr>
      <vt:lpstr>五月</vt:lpstr>
      <vt:lpstr>六月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2026-06-14T16:42:26Z</dcterms:modified>
</cp:coreProperties>
</file>