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3C4E2D8D-B52C-4D13-BC87-D729D9C411F1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三月" sheetId="1" r:id="rId1"/>
    <sheet name="四月" sheetId="2" r:id="rId2"/>
    <sheet name="五月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3" l="1"/>
  <c r="H3" i="3" s="1"/>
  <c r="F2" i="3"/>
  <c r="H2" i="3" s="1"/>
  <c r="H34" i="3"/>
  <c r="H33" i="3"/>
  <c r="E33" i="3"/>
  <c r="H32" i="3"/>
  <c r="E32" i="3"/>
  <c r="H31" i="3"/>
  <c r="E31" i="3"/>
  <c r="H30" i="3"/>
  <c r="E30" i="3"/>
  <c r="H29" i="3"/>
  <c r="E29" i="3"/>
  <c r="H28" i="3"/>
  <c r="E28" i="3"/>
  <c r="H27" i="3"/>
  <c r="E27" i="3"/>
  <c r="H26" i="3"/>
  <c r="E26" i="3"/>
  <c r="H25" i="3"/>
  <c r="E25" i="3"/>
  <c r="H24" i="3"/>
  <c r="E24" i="3"/>
  <c r="H23" i="3"/>
  <c r="E23" i="3"/>
  <c r="H22" i="3"/>
  <c r="E22" i="3"/>
  <c r="H21" i="3"/>
  <c r="E21" i="3"/>
  <c r="H20" i="3"/>
  <c r="E20" i="3"/>
  <c r="H19" i="3"/>
  <c r="E19" i="3"/>
  <c r="H18" i="3"/>
  <c r="E18" i="3"/>
  <c r="H17" i="3"/>
  <c r="E17" i="3"/>
  <c r="H16" i="3"/>
  <c r="E16" i="3"/>
  <c r="H15" i="3"/>
  <c r="E15" i="3"/>
  <c r="H14" i="3"/>
  <c r="E14" i="3"/>
  <c r="H13" i="3"/>
  <c r="E13" i="3"/>
  <c r="H12" i="3"/>
  <c r="E12" i="3"/>
  <c r="H11" i="3"/>
  <c r="E11" i="3"/>
  <c r="H10" i="3"/>
  <c r="E10" i="3"/>
  <c r="H9" i="3"/>
  <c r="E9" i="3"/>
  <c r="H8" i="3"/>
  <c r="E8" i="3"/>
  <c r="H7" i="3"/>
  <c r="E7" i="3"/>
  <c r="H6" i="3"/>
  <c r="E6" i="3"/>
  <c r="H5" i="3"/>
  <c r="E5" i="3"/>
  <c r="H4" i="3"/>
  <c r="E4" i="3"/>
  <c r="E3" i="3"/>
  <c r="O2" i="3"/>
  <c r="L2" i="3"/>
  <c r="K2" i="3"/>
  <c r="J2" i="3"/>
  <c r="E2" i="3"/>
  <c r="F27" i="2"/>
  <c r="H27" i="2" s="1"/>
  <c r="F25" i="2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T2" i="3" l="1"/>
  <c r="M2" i="3"/>
  <c r="P2" i="3" s="1"/>
  <c r="T2" i="2"/>
  <c r="N2" i="1"/>
  <c r="Q2" i="1" s="1"/>
  <c r="M2" i="2"/>
  <c r="P2" i="2" s="1"/>
</calcChain>
</file>

<file path=xl/sharedStrings.xml><?xml version="1.0" encoding="utf-8"?>
<sst xmlns="http://schemas.openxmlformats.org/spreadsheetml/2006/main" count="133" uniqueCount="64">
  <si>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</si>
  <si>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</si>
  <si>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</si>
  <si>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</si>
  <si>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</si>
  <si>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</si>
  <si>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</si>
  <si>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</si>
  <si>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</si>
  <si>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</si>
  <si>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</si>
  <si>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</si>
  <si>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</si>
  <si>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</si>
  <si>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</si>
  <si>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</si>
  <si>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</si>
  <si>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</si>
  <si>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</si>
  <si>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</si>
  <si>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</si>
  <si>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</si>
  <si>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</si>
  <si>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</si>
  <si>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</si>
  <si>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</si>
  <si>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</si>
  <si>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</si>
  <si>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</si>
  <si>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</si>
  <si>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</si>
  <si>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</si>
  <si>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</si>
  <si>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</si>
  <si>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</si>
  <si>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</si>
  <si>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</si>
  <si>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</si>
  <si>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</si>
  <si>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</si>
  <si>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</si>
  <si>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</si>
  <si>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</si>
  <si>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</si>
  <si>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</si>
  <si>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</si>
  <si>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</si>
  <si>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</si>
  <si>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</si>
  <si>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</si>
  <si>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</si>
  <si>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</si>
  <si>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</si>
  <si>
    <t>晚上 8.8</t>
    <phoneticPr fontId="2" type="noConversion"/>
  </si>
  <si>
    <t xml:space="preserve">两短袖 49+俩裤子73+鱼干 10 + 豆罐头 10.5 +猪肘 3.2 + 车票 10 + 电动牙刷 78.66 </t>
    <phoneticPr fontId="2" type="noConversion"/>
  </si>
  <si>
    <t>牙膏 22.7</t>
    <phoneticPr fontId="2" type="noConversion"/>
  </si>
  <si>
    <t xml:space="preserve">hdmi 16.4 </t>
    <phoneticPr fontId="2" type="noConversion"/>
  </si>
  <si>
    <t>雨伞 13.52</t>
    <phoneticPr fontId="2" type="noConversion"/>
  </si>
  <si>
    <t>梅菜扣肉小点心10.7+ 小鱼干 13.4 + 铝罐子 4.77 + 茶氨酸 4.83</t>
    <phoneticPr fontId="2" type="noConversion"/>
  </si>
  <si>
    <t>蛋糕全部吃完，奶油味道很不错</t>
    <phoneticPr fontId="2" type="noConversion"/>
  </si>
  <si>
    <t>类目</t>
    <phoneticPr fontId="2" type="noConversion"/>
  </si>
  <si>
    <t>千层糕 13</t>
    <phoneticPr fontId="2" type="noConversion"/>
  </si>
  <si>
    <t xml:space="preserve">雨伞 17 + 对乙酰氨基酚片 0.5 + 枣糕 6.8 +各类水果 13 + 吐司面包 13+ 花生 5.88 </t>
    <phoneticPr fontId="2" type="noConversion"/>
  </si>
  <si>
    <t xml:space="preserve">瓜拉纳提取物100g 9.30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</si>
</sst>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G17" sqref="G1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323.3</v>
      </c>
      <c r="M2" s="3">
        <f>SUM(F2:F32)</f>
        <v>392.94999999999993</v>
      </c>
      <c r="N2" s="3">
        <v>300</v>
      </c>
      <c r="O2" s="3">
        <f>SUM(J5:J48)</f>
        <v>10</v>
      </c>
      <c r="P2" s="3">
        <f>SUM(N2:O2)-M2+SUM(J5:J35)</f>
        <v>-72.949999999999932</v>
      </c>
      <c r="Q2" s="3"/>
      <c r="R2" s="1"/>
      <c r="S2" s="1"/>
      <c r="T2" s="3">
        <f xml:space="preserve"> SUM(H2:H34)</f>
        <v>716.25</v>
      </c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3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>
        <v>8.8000000000000007</v>
      </c>
      <c r="D27" s="3" t="s">
        <v>53</v>
      </c>
      <c r="E27" s="3">
        <f t="shared" si="0"/>
        <v>2.1999999999999993</v>
      </c>
      <c r="F27" s="10">
        <f>49+73+10+10.5+3.2+10+78.66</f>
        <v>234.35999999999999</v>
      </c>
      <c r="G27" t="s">
        <v>54</v>
      </c>
      <c r="H27" s="6">
        <f>SUM(C27,F27)</f>
        <v>243.16</v>
      </c>
    </row>
    <row r="28" spans="1:10" x14ac:dyDescent="0.2">
      <c r="A28" s="2">
        <v>46139</v>
      </c>
      <c r="B28" s="3">
        <v>11</v>
      </c>
      <c r="C28" s="10">
        <v>10</v>
      </c>
      <c r="D28" s="3" t="s">
        <v>15</v>
      </c>
      <c r="E28" s="3">
        <f t="shared" si="0"/>
        <v>1</v>
      </c>
      <c r="F28" s="10">
        <v>16.399999999999999</v>
      </c>
      <c r="G28" s="1" t="s">
        <v>56</v>
      </c>
      <c r="H28" s="6">
        <f t="shared" si="1"/>
        <v>26.4</v>
      </c>
    </row>
    <row r="29" spans="1:10" x14ac:dyDescent="0.2">
      <c r="A29" s="2">
        <v>46140</v>
      </c>
      <c r="B29" s="3">
        <v>11</v>
      </c>
      <c r="C29" s="10">
        <v>10</v>
      </c>
      <c r="D29" s="3" t="s">
        <v>15</v>
      </c>
      <c r="E29" s="3">
        <f t="shared" si="0"/>
        <v>1</v>
      </c>
      <c r="F29" s="10">
        <v>22.7</v>
      </c>
      <c r="G29" s="1" t="s">
        <v>55</v>
      </c>
      <c r="H29" s="6">
        <f t="shared" si="1"/>
        <v>32.700000000000003</v>
      </c>
    </row>
    <row r="30" spans="1:10" x14ac:dyDescent="0.2">
      <c r="A30" s="2">
        <v>46141</v>
      </c>
      <c r="B30" s="3">
        <v>11</v>
      </c>
      <c r="C30" s="10">
        <v>10</v>
      </c>
      <c r="D30" s="3" t="s">
        <v>15</v>
      </c>
      <c r="E30" s="3">
        <f t="shared" si="0"/>
        <v>1</v>
      </c>
      <c r="F30" s="10">
        <v>13.52</v>
      </c>
      <c r="G30" s="1" t="s">
        <v>57</v>
      </c>
      <c r="H30" s="6">
        <f t="shared" si="1"/>
        <v>23.52</v>
      </c>
    </row>
    <row r="31" spans="1:10" x14ac:dyDescent="0.2">
      <c r="A31" s="2">
        <v>46142</v>
      </c>
      <c r="B31" s="3">
        <v>11</v>
      </c>
      <c r="C31" s="9">
        <v>5</v>
      </c>
      <c r="D31" s="1"/>
      <c r="E31" s="3">
        <f t="shared" si="0"/>
        <v>6</v>
      </c>
      <c r="F31" s="9"/>
      <c r="G31" s="1"/>
      <c r="H31" s="6">
        <f t="shared" si="1"/>
        <v>5</v>
      </c>
      <c r="I31" s="1"/>
      <c r="J31" s="1"/>
    </row>
    <row r="32" spans="1:10" x14ac:dyDescent="0.2">
      <c r="A32" s="2"/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2:10" x14ac:dyDescent="0.2">
      <c r="E33" s="3">
        <f t="shared" si="0"/>
        <v>0</v>
      </c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23FC-8AAF-4CEF-978E-171470B39C64}">
  <dimension ref="A1:U43"/>
  <sheetViews>
    <sheetView tabSelected="1" workbookViewId="0">
      <selection activeCell="G10" sqref="G10"/>
    </sheetView>
  </sheetViews>
  <sheetFormatPr defaultRowHeight="14.25" x14ac:dyDescent="0.2"/>
  <cols>
    <col min="1" max="1" width="14.625" bestFit="1" customWidth="1"/>
    <col min="4" max="4" width="30.625" bestFit="1" customWidth="1"/>
    <col min="5" max="5" width="13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46143</v>
      </c>
      <c r="B2" s="3">
        <v>11</v>
      </c>
      <c r="C2" s="3">
        <v>0</v>
      </c>
      <c r="D2" s="3"/>
      <c r="E2" s="3">
        <f>B2-C2</f>
        <v>11</v>
      </c>
      <c r="F2" s="3">
        <f>10.7+ 13.4 +4.77 +4.83</f>
        <v>33.700000000000003</v>
      </c>
      <c r="G2" s="1" t="s">
        <v>58</v>
      </c>
      <c r="H2" s="6">
        <f>SUM(C2,F2)</f>
        <v>33.700000000000003</v>
      </c>
      <c r="I2" s="4"/>
      <c r="J2" s="3">
        <f>AVERAGE(B2:B32)</f>
        <v>11</v>
      </c>
      <c r="K2" s="3">
        <f>SUM(B2:B31)</f>
        <v>330</v>
      </c>
      <c r="L2" s="3">
        <f>SUM(C2:C32)</f>
        <v>38</v>
      </c>
      <c r="M2" s="3">
        <f>SUM(F2:F32)</f>
        <v>99.179999999999993</v>
      </c>
      <c r="N2" s="3">
        <v>200</v>
      </c>
      <c r="O2" s="3">
        <f>SUM(J5:J48)</f>
        <v>10</v>
      </c>
      <c r="P2" s="3">
        <f>SUM(N2:O2)-M2+SUM(J5:J35)</f>
        <v>120.82000000000001</v>
      </c>
      <c r="Q2" s="3"/>
      <c r="R2" s="1"/>
      <c r="S2" s="1"/>
      <c r="T2" s="3">
        <f xml:space="preserve"> SUM(H2:H34)</f>
        <v>137.18</v>
      </c>
    </row>
    <row r="3" spans="1:21" x14ac:dyDescent="0.2">
      <c r="A3" s="2">
        <v>46144</v>
      </c>
      <c r="B3" s="3">
        <v>11</v>
      </c>
      <c r="C3" s="3">
        <v>0</v>
      </c>
      <c r="D3" s="3"/>
      <c r="E3" s="3">
        <f t="shared" ref="E3:E33" si="0">B3-C3</f>
        <v>11</v>
      </c>
      <c r="F3" s="9">
        <f>17 + 0.5 +6.8 + 13 +  13+5.88</f>
        <v>56.18</v>
      </c>
      <c r="G3" s="1" t="s">
        <v>62</v>
      </c>
      <c r="H3" s="6">
        <f t="shared" ref="H3:H34" si="1">SUM(C3,F3)</f>
        <v>56.18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46145</v>
      </c>
      <c r="B4" s="3">
        <v>11</v>
      </c>
      <c r="C4" s="3">
        <v>0</v>
      </c>
      <c r="D4" s="1"/>
      <c r="E4" s="3">
        <f t="shared" si="0"/>
        <v>11</v>
      </c>
      <c r="F4" s="9"/>
      <c r="G4" s="1"/>
      <c r="H4" s="6">
        <f t="shared" si="1"/>
        <v>0</v>
      </c>
      <c r="J4" s="1" t="s">
        <v>23</v>
      </c>
      <c r="K4" s="1" t="s">
        <v>22</v>
      </c>
      <c r="L4" s="1" t="s">
        <v>60</v>
      </c>
      <c r="M4" s="1" t="s">
        <v>24</v>
      </c>
      <c r="N4" s="1" t="s">
        <v>38</v>
      </c>
    </row>
    <row r="5" spans="1:21" x14ac:dyDescent="0.2">
      <c r="A5" s="2">
        <v>46146</v>
      </c>
      <c r="B5" s="3">
        <v>11</v>
      </c>
      <c r="C5" s="3">
        <v>0</v>
      </c>
      <c r="D5" s="1"/>
      <c r="E5" s="3">
        <f t="shared" si="0"/>
        <v>11</v>
      </c>
      <c r="F5" s="9"/>
      <c r="G5" s="1"/>
      <c r="H5" s="6">
        <f t="shared" si="1"/>
        <v>0</v>
      </c>
      <c r="J5" s="9">
        <v>10</v>
      </c>
      <c r="K5" s="1" t="s">
        <v>59</v>
      </c>
      <c r="L5" s="1" t="s">
        <v>61</v>
      </c>
      <c r="M5" s="1"/>
      <c r="N5" s="1"/>
    </row>
    <row r="6" spans="1:21" x14ac:dyDescent="0.2">
      <c r="A6" s="2">
        <v>46147</v>
      </c>
      <c r="B6" s="3">
        <v>11</v>
      </c>
      <c r="C6" s="3">
        <v>0</v>
      </c>
      <c r="D6" s="1"/>
      <c r="E6" s="3">
        <f t="shared" si="0"/>
        <v>11</v>
      </c>
      <c r="F6" s="9"/>
      <c r="G6" s="1"/>
      <c r="H6" s="6">
        <f t="shared" si="1"/>
        <v>0</v>
      </c>
      <c r="J6" s="9"/>
      <c r="K6" s="1"/>
      <c r="L6" s="1"/>
      <c r="M6" s="1"/>
      <c r="N6" s="1"/>
    </row>
    <row r="7" spans="1:21" x14ac:dyDescent="0.2">
      <c r="A7" s="2">
        <v>46148</v>
      </c>
      <c r="B7" s="3">
        <v>11</v>
      </c>
      <c r="C7" s="3">
        <v>10</v>
      </c>
      <c r="D7" s="3"/>
      <c r="E7" s="3">
        <f t="shared" si="0"/>
        <v>1</v>
      </c>
      <c r="F7" s="9">
        <v>9.3000000000000007</v>
      </c>
      <c r="G7" s="1" t="s">
        <v>63</v>
      </c>
      <c r="H7" s="6">
        <f t="shared" si="1"/>
        <v>19.3</v>
      </c>
      <c r="J7" s="9"/>
      <c r="K7" s="1"/>
      <c r="L7" s="1"/>
      <c r="M7" s="1"/>
      <c r="N7" s="1"/>
    </row>
    <row r="8" spans="1:21" x14ac:dyDescent="0.2">
      <c r="A8" s="2">
        <v>46149</v>
      </c>
      <c r="B8" s="3">
        <v>11</v>
      </c>
      <c r="C8" s="3">
        <v>11</v>
      </c>
      <c r="D8" s="3"/>
      <c r="E8" s="3">
        <f t="shared" si="0"/>
        <v>0</v>
      </c>
      <c r="F8" s="9"/>
      <c r="G8" s="1"/>
      <c r="H8" s="6">
        <f t="shared" si="1"/>
        <v>11</v>
      </c>
      <c r="J8" s="9"/>
      <c r="K8" s="1"/>
      <c r="L8" s="1"/>
      <c r="M8" s="1"/>
      <c r="N8" s="1"/>
    </row>
    <row r="9" spans="1:21" x14ac:dyDescent="0.2">
      <c r="A9" s="2">
        <v>46150</v>
      </c>
      <c r="B9" s="3">
        <v>11</v>
      </c>
      <c r="C9" s="3">
        <v>11</v>
      </c>
      <c r="D9" s="3"/>
      <c r="E9" s="3">
        <f t="shared" si="0"/>
        <v>0</v>
      </c>
      <c r="F9" s="9"/>
      <c r="G9" s="1"/>
      <c r="H9" s="6">
        <f t="shared" si="1"/>
        <v>11</v>
      </c>
      <c r="J9" s="9"/>
      <c r="K9" s="1"/>
      <c r="L9" s="1"/>
      <c r="M9" s="1"/>
      <c r="N9" s="1"/>
    </row>
    <row r="10" spans="1:21" x14ac:dyDescent="0.2">
      <c r="A10" s="2">
        <v>46151</v>
      </c>
      <c r="B10" s="3">
        <v>11</v>
      </c>
      <c r="C10" s="9">
        <v>6</v>
      </c>
      <c r="D10" s="3"/>
      <c r="E10" s="3">
        <f t="shared" si="0"/>
        <v>5</v>
      </c>
      <c r="F10" s="9"/>
      <c r="G10" s="1"/>
      <c r="H10" s="6">
        <f t="shared" si="1"/>
        <v>6</v>
      </c>
      <c r="J10" s="9"/>
      <c r="K10" s="1"/>
      <c r="L10" s="1"/>
      <c r="M10" s="1"/>
      <c r="N10" s="1"/>
    </row>
    <row r="11" spans="1:21" x14ac:dyDescent="0.2">
      <c r="A11" s="2">
        <v>46152</v>
      </c>
      <c r="B11" s="3">
        <v>11</v>
      </c>
      <c r="C11" s="9">
        <v>0</v>
      </c>
      <c r="D11" s="3"/>
      <c r="E11" s="3">
        <f t="shared" si="0"/>
        <v>11</v>
      </c>
      <c r="F11" s="9"/>
      <c r="G11" s="1"/>
      <c r="H11" s="6">
        <f t="shared" si="1"/>
        <v>0</v>
      </c>
      <c r="J11" s="9"/>
      <c r="K11" s="1"/>
      <c r="L11" s="1"/>
      <c r="M11" s="1"/>
      <c r="N11" s="1"/>
    </row>
    <row r="12" spans="1:21" x14ac:dyDescent="0.2">
      <c r="A12" s="2">
        <v>46153</v>
      </c>
      <c r="B12" s="3">
        <v>11</v>
      </c>
      <c r="C12" s="9"/>
      <c r="D12" s="1"/>
      <c r="E12" s="3">
        <f t="shared" si="0"/>
        <v>11</v>
      </c>
      <c r="F12" s="9"/>
      <c r="G12" s="1"/>
      <c r="H12" s="6">
        <f t="shared" si="1"/>
        <v>0</v>
      </c>
      <c r="J12" s="9"/>
    </row>
    <row r="13" spans="1:21" x14ac:dyDescent="0.2">
      <c r="A13" s="2">
        <v>46154</v>
      </c>
      <c r="B13" s="3">
        <v>11</v>
      </c>
      <c r="C13" s="9"/>
      <c r="D13" s="3"/>
      <c r="E13" s="3">
        <f t="shared" si="0"/>
        <v>11</v>
      </c>
      <c r="F13" s="9"/>
      <c r="G13" s="1"/>
      <c r="H13" s="6">
        <f t="shared" si="1"/>
        <v>0</v>
      </c>
      <c r="J13" s="9"/>
    </row>
    <row r="14" spans="1:21" x14ac:dyDescent="0.2">
      <c r="A14" s="2">
        <v>46155</v>
      </c>
      <c r="B14" s="3">
        <v>11</v>
      </c>
      <c r="C14" s="10"/>
      <c r="D14" s="3"/>
      <c r="E14" s="3">
        <f t="shared" si="0"/>
        <v>11</v>
      </c>
      <c r="F14" s="10"/>
      <c r="H14" s="6">
        <f t="shared" si="1"/>
        <v>0</v>
      </c>
      <c r="J14" s="10"/>
    </row>
    <row r="15" spans="1:21" x14ac:dyDescent="0.2">
      <c r="A15" s="2">
        <v>46156</v>
      </c>
      <c r="B15" s="3">
        <v>11</v>
      </c>
      <c r="C15" s="10"/>
      <c r="D15" s="3"/>
      <c r="E15" s="3">
        <f t="shared" si="0"/>
        <v>11</v>
      </c>
      <c r="F15" s="10"/>
      <c r="H15" s="6">
        <f t="shared" si="1"/>
        <v>0</v>
      </c>
      <c r="J15" s="10"/>
    </row>
    <row r="16" spans="1:21" x14ac:dyDescent="0.2">
      <c r="A16" s="2">
        <v>46157</v>
      </c>
      <c r="B16" s="3">
        <v>11</v>
      </c>
      <c r="C16" s="10"/>
      <c r="D16" s="3"/>
      <c r="E16" s="3">
        <f t="shared" si="0"/>
        <v>11</v>
      </c>
      <c r="F16" s="10"/>
      <c r="H16" s="6">
        <f t="shared" si="1"/>
        <v>0</v>
      </c>
      <c r="J16" s="10"/>
    </row>
    <row r="17" spans="1:10" x14ac:dyDescent="0.2">
      <c r="A17" s="2">
        <v>46158</v>
      </c>
      <c r="B17" s="3">
        <v>11</v>
      </c>
      <c r="C17" s="10"/>
      <c r="D17" s="3"/>
      <c r="E17" s="3">
        <f t="shared" si="0"/>
        <v>11</v>
      </c>
      <c r="F17" s="10"/>
      <c r="G17" s="1"/>
      <c r="H17" s="6">
        <f>SUM(C17,F17)</f>
        <v>0</v>
      </c>
      <c r="J17" s="10"/>
    </row>
    <row r="18" spans="1:10" x14ac:dyDescent="0.2">
      <c r="A18" s="2">
        <v>46159</v>
      </c>
      <c r="B18" s="3">
        <v>11</v>
      </c>
      <c r="C18" s="10"/>
      <c r="D18" s="3"/>
      <c r="E18" s="3">
        <f t="shared" si="0"/>
        <v>11</v>
      </c>
      <c r="F18" s="10"/>
      <c r="H18" s="6">
        <f>SUM(C18,F18)</f>
        <v>0</v>
      </c>
      <c r="J18" s="10"/>
    </row>
    <row r="19" spans="1:10" x14ac:dyDescent="0.2">
      <c r="A19" s="2">
        <v>46160</v>
      </c>
      <c r="B19" s="3">
        <v>11</v>
      </c>
      <c r="C19" s="10"/>
      <c r="D19" s="3"/>
      <c r="E19" s="3">
        <f t="shared" si="0"/>
        <v>11</v>
      </c>
      <c r="F19" s="10"/>
      <c r="G19" s="1"/>
      <c r="H19" s="6">
        <f>SUM(C19,F19)</f>
        <v>0</v>
      </c>
      <c r="J19" s="10"/>
    </row>
    <row r="20" spans="1:10" x14ac:dyDescent="0.2">
      <c r="A20" s="2">
        <v>46161</v>
      </c>
      <c r="B20" s="3">
        <v>11</v>
      </c>
      <c r="C20" s="10"/>
      <c r="D20" s="3"/>
      <c r="E20" s="3">
        <f t="shared" si="0"/>
        <v>11</v>
      </c>
      <c r="F20" s="10"/>
      <c r="H20" s="6">
        <f t="shared" si="1"/>
        <v>0</v>
      </c>
      <c r="J20" s="10"/>
    </row>
    <row r="21" spans="1:10" x14ac:dyDescent="0.2">
      <c r="A21" s="2">
        <v>46162</v>
      </c>
      <c r="B21" s="3">
        <v>11</v>
      </c>
      <c r="C21" s="10"/>
      <c r="D21" s="3"/>
      <c r="E21" s="3">
        <f t="shared" si="0"/>
        <v>11</v>
      </c>
      <c r="F21" s="10"/>
      <c r="H21" s="6">
        <f t="shared" si="1"/>
        <v>0</v>
      </c>
      <c r="J21" s="10"/>
    </row>
    <row r="22" spans="1:10" x14ac:dyDescent="0.2">
      <c r="A22" s="2">
        <v>46163</v>
      </c>
      <c r="B22" s="3">
        <v>11</v>
      </c>
      <c r="C22" s="10"/>
      <c r="D22" s="3"/>
      <c r="E22" s="3">
        <f t="shared" si="0"/>
        <v>11</v>
      </c>
      <c r="F22" s="10"/>
      <c r="H22" s="6">
        <f t="shared" si="1"/>
        <v>0</v>
      </c>
    </row>
    <row r="23" spans="1:10" x14ac:dyDescent="0.2">
      <c r="A23" s="2">
        <v>46164</v>
      </c>
      <c r="B23" s="3">
        <v>11</v>
      </c>
      <c r="C23" s="10"/>
      <c r="D23" s="3"/>
      <c r="E23" s="3">
        <f t="shared" si="0"/>
        <v>11</v>
      </c>
      <c r="F23" s="10"/>
      <c r="H23" s="6">
        <f t="shared" si="1"/>
        <v>0</v>
      </c>
    </row>
    <row r="24" spans="1:10" x14ac:dyDescent="0.2">
      <c r="A24" s="2">
        <v>46165</v>
      </c>
      <c r="B24" s="3">
        <v>11</v>
      </c>
      <c r="C24" s="10"/>
      <c r="D24" s="3"/>
      <c r="E24" s="3">
        <f t="shared" si="0"/>
        <v>11</v>
      </c>
      <c r="F24" s="10"/>
      <c r="H24" s="6">
        <f t="shared" si="1"/>
        <v>0</v>
      </c>
    </row>
    <row r="25" spans="1:10" x14ac:dyDescent="0.2">
      <c r="A25" s="2">
        <v>46166</v>
      </c>
      <c r="B25" s="3">
        <v>11</v>
      </c>
      <c r="C25" s="10"/>
      <c r="D25" s="3"/>
      <c r="E25" s="3">
        <f t="shared" si="0"/>
        <v>11</v>
      </c>
      <c r="F25" s="10"/>
      <c r="G25" s="1"/>
      <c r="H25" s="6">
        <f t="shared" si="1"/>
        <v>0</v>
      </c>
    </row>
    <row r="26" spans="1:10" x14ac:dyDescent="0.2">
      <c r="A26" s="2">
        <v>46167</v>
      </c>
      <c r="B26" s="3">
        <v>11</v>
      </c>
      <c r="C26" s="10"/>
      <c r="D26" s="3"/>
      <c r="E26" s="3">
        <f t="shared" si="0"/>
        <v>11</v>
      </c>
      <c r="F26" s="10"/>
      <c r="H26" s="6">
        <f t="shared" si="1"/>
        <v>0</v>
      </c>
    </row>
    <row r="27" spans="1:10" x14ac:dyDescent="0.2">
      <c r="A27" s="2">
        <v>46168</v>
      </c>
      <c r="B27" s="3">
        <v>11</v>
      </c>
      <c r="C27" s="10"/>
      <c r="D27" s="3"/>
      <c r="E27" s="3">
        <f t="shared" si="0"/>
        <v>11</v>
      </c>
      <c r="F27" s="10"/>
      <c r="H27" s="6">
        <f>SUM(C27,F27)</f>
        <v>0</v>
      </c>
    </row>
    <row r="28" spans="1:10" x14ac:dyDescent="0.2">
      <c r="A28" s="2">
        <v>46169</v>
      </c>
      <c r="B28" s="3">
        <v>11</v>
      </c>
      <c r="C28" s="10"/>
      <c r="D28" s="3"/>
      <c r="E28" s="3">
        <f t="shared" si="0"/>
        <v>11</v>
      </c>
      <c r="F28" s="10"/>
      <c r="G28" s="1"/>
      <c r="H28" s="6">
        <f t="shared" si="1"/>
        <v>0</v>
      </c>
    </row>
    <row r="29" spans="1:10" x14ac:dyDescent="0.2">
      <c r="A29" s="2">
        <v>46170</v>
      </c>
      <c r="B29" s="3">
        <v>11</v>
      </c>
      <c r="C29" s="10"/>
      <c r="D29" s="3"/>
      <c r="E29" s="3">
        <f t="shared" si="0"/>
        <v>11</v>
      </c>
      <c r="F29" s="10"/>
      <c r="G29" s="1"/>
      <c r="H29" s="6">
        <f t="shared" si="1"/>
        <v>0</v>
      </c>
    </row>
    <row r="30" spans="1:10" x14ac:dyDescent="0.2">
      <c r="A30" s="2">
        <v>46171</v>
      </c>
      <c r="B30" s="3">
        <v>11</v>
      </c>
      <c r="C30" s="10"/>
      <c r="E30" s="3">
        <f t="shared" si="0"/>
        <v>11</v>
      </c>
      <c r="F30" s="10"/>
      <c r="G30" s="1"/>
      <c r="H30" s="6">
        <f t="shared" si="1"/>
        <v>0</v>
      </c>
    </row>
    <row r="31" spans="1:10" x14ac:dyDescent="0.2">
      <c r="A31" s="2">
        <v>46172</v>
      </c>
      <c r="B31" s="3">
        <v>11</v>
      </c>
      <c r="C31" s="9"/>
      <c r="D31" s="1"/>
      <c r="E31" s="3">
        <f t="shared" si="0"/>
        <v>11</v>
      </c>
      <c r="F31" s="9"/>
      <c r="G31" s="1"/>
      <c r="H31" s="6">
        <f t="shared" si="1"/>
        <v>0</v>
      </c>
      <c r="I31" s="1"/>
      <c r="J31" s="1"/>
    </row>
    <row r="32" spans="1:10" x14ac:dyDescent="0.2">
      <c r="A32" s="2">
        <v>46173</v>
      </c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1:10" x14ac:dyDescent="0.2">
      <c r="A33" s="2"/>
      <c r="E33" s="3">
        <f t="shared" si="0"/>
        <v>0</v>
      </c>
      <c r="F33" s="10"/>
      <c r="H33" s="6">
        <f t="shared" si="1"/>
        <v>0</v>
      </c>
      <c r="I33" s="1"/>
      <c r="J33" s="1"/>
    </row>
    <row r="34" spans="1:10" x14ac:dyDescent="0.2">
      <c r="A34" s="2"/>
      <c r="F34" s="10"/>
      <c r="H34" s="6">
        <f t="shared" si="1"/>
        <v>0</v>
      </c>
      <c r="I34" s="1"/>
      <c r="J34" s="1"/>
    </row>
    <row r="35" spans="1:10" x14ac:dyDescent="0.2">
      <c r="A35" s="2"/>
      <c r="I35" s="1"/>
      <c r="J35" s="1"/>
    </row>
    <row r="36" spans="1:10" x14ac:dyDescent="0.2">
      <c r="A36" s="2"/>
      <c r="B36" s="1"/>
      <c r="C36" s="1"/>
      <c r="D36" s="1"/>
      <c r="E36" s="1"/>
      <c r="F36" s="1"/>
      <c r="G36" s="1"/>
      <c r="H36" s="5"/>
      <c r="I36" s="1"/>
      <c r="J36" s="1"/>
    </row>
    <row r="37" spans="1:10" x14ac:dyDescent="0.2">
      <c r="A37" s="2"/>
      <c r="B37" s="1"/>
      <c r="C37" s="1"/>
      <c r="D37" s="1"/>
      <c r="E37" s="1"/>
      <c r="F37" s="1"/>
      <c r="G37" s="1"/>
      <c r="H37" s="5"/>
      <c r="I37" s="1"/>
      <c r="J37" s="1"/>
    </row>
    <row r="38" spans="1:10" x14ac:dyDescent="0.2">
      <c r="A38" s="2"/>
      <c r="B38" s="1"/>
      <c r="C38" s="1"/>
      <c r="D38" s="1"/>
      <c r="E38" s="1"/>
      <c r="F38" s="1"/>
      <c r="G38" s="1"/>
      <c r="H38" s="5"/>
      <c r="I38" s="1"/>
      <c r="J38" s="1"/>
    </row>
    <row r="39" spans="1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1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1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1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1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三月</vt:lpstr>
      <vt:lpstr>四月</vt:lpstr>
      <vt:lpstr>五月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2026-05-10T16:09:15Z</dcterms:modified>
</cp:coreProperties>
</file>